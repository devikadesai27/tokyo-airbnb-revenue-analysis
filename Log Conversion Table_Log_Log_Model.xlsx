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3ddc92bc0b0f51a/Documents/SU/spring_sem26/Marketing Analytics/Midterm_Project/Submission_doc/"/>
    </mc:Choice>
  </mc:AlternateContent>
  <xr:revisionPtr revIDLastSave="1" documentId="11_7006568D736198413D9F50791D56C8E16D6D4880" xr6:coauthVersionLast="47" xr6:coauthVersionMax="47" xr10:uidLastSave="{09AE4954-D4BE-4CF2-AF7A-FB817C2467AF}"/>
  <bookViews>
    <workbookView xWindow="-28920" yWindow="-120" windowWidth="29040" windowHeight="15720" xr2:uid="{00000000-000D-0000-FFFF-FFFF00000000}"/>
  </bookViews>
  <sheets>
    <sheet name="Log Conversion" sheetId="1" r:id="rId1"/>
    <sheet name="Semi-Log" sheetId="2" r:id="rId2"/>
    <sheet name="BiVarate-Continuous" sheetId="3" r:id="rId3"/>
    <sheet name="Univarate " sheetId="5" r:id="rId4"/>
    <sheet name="Sheet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WAlPG8JDN5SfE30HPzVvcEY2v9F3MUrWZ1GhXodQqK8="/>
    </ext>
  </extLst>
</workbook>
</file>

<file path=xl/calcChain.xml><?xml version="1.0" encoding="utf-8"?>
<calcChain xmlns="http://schemas.openxmlformats.org/spreadsheetml/2006/main">
  <c r="C7" i="6" l="1"/>
  <c r="D7" i="6" s="1"/>
  <c r="C6" i="6"/>
  <c r="D6" i="6" s="1"/>
  <c r="C5" i="6"/>
  <c r="D5" i="6" s="1"/>
  <c r="C4" i="6"/>
  <c r="D4" i="6" s="1"/>
  <c r="C3" i="6"/>
  <c r="D3" i="6" s="1"/>
  <c r="D2" i="6"/>
  <c r="C2" i="6"/>
  <c r="D16" i="5"/>
  <c r="E16" i="5" s="1"/>
  <c r="C16" i="5"/>
  <c r="C15" i="5"/>
  <c r="D15" i="5" s="1"/>
  <c r="E15" i="5" s="1"/>
  <c r="C14" i="5"/>
  <c r="D14" i="5" s="1"/>
  <c r="E14" i="5" s="1"/>
  <c r="C13" i="5"/>
  <c r="D13" i="5" s="1"/>
  <c r="E13" i="5" s="1"/>
  <c r="E12" i="5"/>
  <c r="D12" i="5"/>
  <c r="C12" i="5"/>
  <c r="C11" i="5"/>
  <c r="D11" i="5" s="1"/>
  <c r="E11" i="5" s="1"/>
  <c r="C10" i="5"/>
  <c r="D10" i="5" s="1"/>
  <c r="E10" i="5" s="1"/>
  <c r="E9" i="5"/>
  <c r="D9" i="5"/>
  <c r="C9" i="5"/>
  <c r="D8" i="5"/>
  <c r="E8" i="5" s="1"/>
  <c r="C8" i="5"/>
  <c r="C7" i="5"/>
  <c r="D7" i="5" s="1"/>
  <c r="E7" i="5" s="1"/>
  <c r="E6" i="5"/>
  <c r="D6" i="5"/>
  <c r="C6" i="5"/>
  <c r="C5" i="5"/>
  <c r="D5" i="5" s="1"/>
  <c r="E5" i="5" s="1"/>
  <c r="D4" i="5"/>
  <c r="E4" i="5" s="1"/>
  <c r="C4" i="5"/>
  <c r="C3" i="5"/>
  <c r="D3" i="5" s="1"/>
  <c r="E3" i="5" s="1"/>
  <c r="C2" i="5"/>
  <c r="D2" i="5" s="1"/>
  <c r="E2" i="5" s="1"/>
  <c r="C16" i="3"/>
  <c r="D16" i="3" s="1"/>
  <c r="E16" i="3" s="1"/>
  <c r="E15" i="3"/>
  <c r="D15" i="3"/>
  <c r="C15" i="3"/>
  <c r="C14" i="3"/>
  <c r="D14" i="3" s="1"/>
  <c r="E14" i="3" s="1"/>
  <c r="C13" i="3"/>
  <c r="D13" i="3" s="1"/>
  <c r="E13" i="3" s="1"/>
  <c r="E12" i="3"/>
  <c r="D12" i="3"/>
  <c r="C12" i="3"/>
  <c r="D11" i="3"/>
  <c r="E11" i="3" s="1"/>
  <c r="C11" i="3"/>
  <c r="C10" i="3"/>
  <c r="D10" i="3" s="1"/>
  <c r="E10" i="3" s="1"/>
  <c r="E9" i="3"/>
  <c r="D9" i="3"/>
  <c r="C9" i="3"/>
  <c r="C8" i="3"/>
  <c r="D8" i="3" s="1"/>
  <c r="E8" i="3" s="1"/>
  <c r="D7" i="3"/>
  <c r="E7" i="3" s="1"/>
  <c r="C7" i="3"/>
  <c r="C6" i="3"/>
  <c r="D6" i="3" s="1"/>
  <c r="E6" i="3" s="1"/>
  <c r="C5" i="3"/>
  <c r="D5" i="3" s="1"/>
  <c r="E5" i="3" s="1"/>
  <c r="E4" i="3"/>
  <c r="D4" i="3"/>
  <c r="C4" i="3"/>
  <c r="D3" i="3"/>
  <c r="E3" i="3" s="1"/>
  <c r="C3" i="3"/>
  <c r="C2" i="3"/>
  <c r="D2" i="3" s="1"/>
  <c r="E2" i="3" s="1"/>
  <c r="E16" i="2"/>
  <c r="D16" i="2"/>
  <c r="C16" i="2"/>
  <c r="E15" i="2"/>
  <c r="D15" i="2"/>
  <c r="C15" i="2"/>
  <c r="D14" i="2"/>
  <c r="E14" i="2" s="1"/>
  <c r="C14" i="2"/>
  <c r="C13" i="2"/>
  <c r="D13" i="2" s="1"/>
  <c r="E13" i="2" s="1"/>
  <c r="C12" i="2"/>
  <c r="D12" i="2" s="1"/>
  <c r="E12" i="2" s="1"/>
  <c r="E11" i="2"/>
  <c r="D11" i="2"/>
  <c r="C11" i="2"/>
  <c r="D10" i="2"/>
  <c r="E10" i="2" s="1"/>
  <c r="C10" i="2"/>
  <c r="C9" i="2"/>
  <c r="D9" i="2" s="1"/>
  <c r="E9" i="2" s="1"/>
  <c r="E8" i="2"/>
  <c r="D8" i="2"/>
  <c r="C8" i="2"/>
  <c r="E7" i="2"/>
  <c r="D7" i="2"/>
  <c r="C7" i="2"/>
  <c r="D6" i="2"/>
  <c r="E6" i="2" s="1"/>
  <c r="C6" i="2"/>
  <c r="C5" i="2"/>
  <c r="D5" i="2" s="1"/>
  <c r="E5" i="2" s="1"/>
  <c r="C4" i="2"/>
  <c r="D4" i="2" s="1"/>
  <c r="E4" i="2" s="1"/>
  <c r="E3" i="2"/>
  <c r="D3" i="2"/>
  <c r="C3" i="2"/>
  <c r="D2" i="2"/>
  <c r="E2" i="2" s="1"/>
  <c r="C2" i="2"/>
  <c r="I17" i="1"/>
  <c r="D17" i="1"/>
  <c r="E17" i="1" s="1"/>
  <c r="F17" i="1" s="1"/>
  <c r="I16" i="1"/>
  <c r="E16" i="1"/>
  <c r="F16" i="1" s="1"/>
  <c r="D16" i="1"/>
  <c r="I15" i="1"/>
  <c r="D15" i="1"/>
  <c r="E15" i="1" s="1"/>
  <c r="F15" i="1" s="1"/>
  <c r="I14" i="1"/>
  <c r="E14" i="1"/>
  <c r="F14" i="1" s="1"/>
  <c r="D14" i="1"/>
  <c r="I13" i="1"/>
  <c r="D13" i="1"/>
  <c r="E13" i="1" s="1"/>
  <c r="F13" i="1" s="1"/>
  <c r="I12" i="1"/>
  <c r="E12" i="1"/>
  <c r="F12" i="1" s="1"/>
  <c r="D12" i="1"/>
  <c r="I11" i="1"/>
  <c r="D11" i="1"/>
  <c r="E11" i="1" s="1"/>
  <c r="F11" i="1" s="1"/>
  <c r="I10" i="1"/>
  <c r="E10" i="1"/>
  <c r="F10" i="1" s="1"/>
  <c r="D10" i="1"/>
  <c r="I9" i="1"/>
  <c r="E9" i="1"/>
  <c r="F9" i="1" s="1"/>
  <c r="D9" i="1"/>
  <c r="I8" i="1"/>
  <c r="E8" i="1"/>
  <c r="F8" i="1" s="1"/>
  <c r="D8" i="1"/>
  <c r="I7" i="1"/>
  <c r="D7" i="1"/>
  <c r="E7" i="1" s="1"/>
  <c r="F7" i="1" s="1"/>
  <c r="I6" i="1"/>
  <c r="E6" i="1"/>
  <c r="F6" i="1" s="1"/>
  <c r="D6" i="1"/>
  <c r="I5" i="1"/>
  <c r="D5" i="1"/>
  <c r="E5" i="1" s="1"/>
  <c r="F5" i="1" s="1"/>
  <c r="I4" i="1"/>
  <c r="E4" i="1"/>
  <c r="F4" i="1" s="1"/>
  <c r="D4" i="1"/>
  <c r="I3" i="1"/>
  <c r="D3" i="1"/>
  <c r="E3" i="1" s="1"/>
  <c r="F3" i="1" s="1"/>
</calcChain>
</file>

<file path=xl/sharedStrings.xml><?xml version="1.0" encoding="utf-8"?>
<sst xmlns="http://schemas.openxmlformats.org/spreadsheetml/2006/main" count="78" uniqueCount="38">
  <si>
    <t>Variable</t>
  </si>
  <si>
    <t>Coefficient</t>
  </si>
  <si>
    <t>e^Coefficient</t>
  </si>
  <si>
    <t>Exp^Coefficient-1</t>
  </si>
  <si>
    <t>100*(Exp^Coefficient - 1)</t>
  </si>
  <si>
    <t>ln(Value)</t>
  </si>
  <si>
    <t>exp(ln(value))</t>
  </si>
  <si>
    <t xml:space="preserve">Intercept </t>
  </si>
  <si>
    <t xml:space="preserve">count_amenitites </t>
  </si>
  <si>
    <t xml:space="preserve">review_score_rating </t>
  </si>
  <si>
    <t xml:space="preserve">number of reviews </t>
  </si>
  <si>
    <t xml:space="preserve">bedroom </t>
  </si>
  <si>
    <t xml:space="preserve">accommodates </t>
  </si>
  <si>
    <t xml:space="preserve">hotel_style </t>
  </si>
  <si>
    <t>private_room</t>
  </si>
  <si>
    <t xml:space="preserve">shared room </t>
  </si>
  <si>
    <t>unique_stay</t>
  </si>
  <si>
    <t xml:space="preserve">Central Tokyo </t>
  </si>
  <si>
    <t xml:space="preserve">East Tokyo </t>
  </si>
  <si>
    <t xml:space="preserve">South Tokyo </t>
  </si>
  <si>
    <t xml:space="preserve">West Tokyo </t>
  </si>
  <si>
    <t xml:space="preserve">host is superhost </t>
  </si>
  <si>
    <t>rating_score</t>
  </si>
  <si>
    <t>bedroom studio</t>
  </si>
  <si>
    <t>bedroom 4+</t>
  </si>
  <si>
    <t>amentities5</t>
  </si>
  <si>
    <t>amentities50</t>
  </si>
  <si>
    <t xml:space="preserve">number of reviews less than 10 </t>
  </si>
  <si>
    <t>number of reviews 500+</t>
  </si>
  <si>
    <t xml:space="preserve">Accomodates 1 guest </t>
  </si>
  <si>
    <t xml:space="preserve">Accomodates 15 guest </t>
  </si>
  <si>
    <t>Mean</t>
  </si>
  <si>
    <t>Median (50%)</t>
  </si>
  <si>
    <t>Q1 (25%)</t>
  </si>
  <si>
    <t>Q3 (75%)</t>
  </si>
  <si>
    <t>Min</t>
  </si>
  <si>
    <t>Max</t>
  </si>
  <si>
    <t>semilog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</si>
</sst>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/>
    <xf numFmtId="0" fontId="2" fillId="0" borderId="0" xfId="0" applyFont="1"/>
    <xf numFmtId="0" fontId="3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1.25" defaultRowHeight="15" customHeight="1" x14ac:dyDescent="0.25"/>
  <cols>
    <col min="1" max="1" width="1.625" customWidth="1"/>
    <col min="2" max="2" width="16.375" customWidth="1"/>
    <col min="3" max="3" width="10.5" customWidth="1"/>
    <col min="4" max="4" width="16.125" customWidth="1"/>
    <col min="5" max="5" width="15.5" customWidth="1"/>
    <col min="6" max="6" width="22.125" customWidth="1"/>
    <col min="7" max="8" width="10.5" customWidth="1"/>
    <col min="9" max="9" width="13.5" customWidth="1"/>
    <col min="10" max="26" width="10.5" customWidth="1"/>
  </cols>
  <sheetData>
    <row r="1" spans="1:26" ht="7.5" customHeight="1" x14ac:dyDescent="0.25"/>
    <row r="2" spans="1:26" ht="15.75" customHeight="1" x14ac:dyDescent="0.25">
      <c r="A2" s="1"/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1"/>
      <c r="H2" s="2" t="s">
        <v>5</v>
      </c>
      <c r="I2" s="4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B3" s="5" t="s">
        <v>7</v>
      </c>
      <c r="C3" s="6">
        <v>8.9808304999999997</v>
      </c>
      <c r="D3" s="6">
        <f t="shared" ref="D3:D17" si="0">EXP(C3)</f>
        <v>7949.2312113698654</v>
      </c>
      <c r="E3" s="6">
        <f t="shared" ref="E3:E17" si="1">D3-1</f>
        <v>7948.2312113698654</v>
      </c>
      <c r="F3" s="7">
        <f t="shared" ref="F3:F17" si="2">E3*100</f>
        <v>794823.12113698653</v>
      </c>
      <c r="H3" s="5"/>
      <c r="I3" s="7">
        <f t="shared" ref="I3:I17" si="3">EXP(H3)</f>
        <v>1</v>
      </c>
    </row>
    <row r="4" spans="1:26" ht="15.75" customHeight="1" x14ac:dyDescent="0.25">
      <c r="B4" s="5" t="s">
        <v>8</v>
      </c>
      <c r="C4" s="6">
        <v>0.28758119999999998</v>
      </c>
      <c r="D4" s="6">
        <f t="shared" si="0"/>
        <v>1.3331988435142317</v>
      </c>
      <c r="E4" s="6">
        <f t="shared" si="1"/>
        <v>0.33319884351423168</v>
      </c>
      <c r="F4" s="7">
        <f t="shared" si="2"/>
        <v>33.31988435142317</v>
      </c>
      <c r="H4" s="5"/>
      <c r="I4" s="7">
        <f t="shared" si="3"/>
        <v>1</v>
      </c>
    </row>
    <row r="5" spans="1:26" ht="15.75" customHeight="1" x14ac:dyDescent="0.25">
      <c r="B5" s="5" t="s">
        <v>9</v>
      </c>
      <c r="C5" s="6">
        <v>0.79922110000000002</v>
      </c>
      <c r="D5" s="6">
        <f t="shared" si="0"/>
        <v>2.2238081295894028</v>
      </c>
      <c r="E5" s="6">
        <f t="shared" si="1"/>
        <v>1.2238081295894028</v>
      </c>
      <c r="F5" s="7">
        <f t="shared" si="2"/>
        <v>122.38081295894028</v>
      </c>
      <c r="H5" s="5"/>
      <c r="I5" s="7">
        <f t="shared" si="3"/>
        <v>1</v>
      </c>
    </row>
    <row r="6" spans="1:26" ht="15.75" customHeight="1" x14ac:dyDescent="0.25">
      <c r="B6" s="5" t="s">
        <v>10</v>
      </c>
      <c r="C6" s="6">
        <v>0.46563840000000001</v>
      </c>
      <c r="D6" s="6">
        <f t="shared" si="0"/>
        <v>1.5930308552306547</v>
      </c>
      <c r="E6" s="6">
        <f t="shared" si="1"/>
        <v>0.59303085523065469</v>
      </c>
      <c r="F6" s="7">
        <f t="shared" si="2"/>
        <v>59.303085523065469</v>
      </c>
      <c r="H6" s="5"/>
      <c r="I6" s="7">
        <f t="shared" si="3"/>
        <v>1</v>
      </c>
    </row>
    <row r="7" spans="1:26" ht="15.75" customHeight="1" x14ac:dyDescent="0.25">
      <c r="B7" s="5" t="s">
        <v>11</v>
      </c>
      <c r="C7" s="6">
        <v>0.33389079999999999</v>
      </c>
      <c r="D7" s="6">
        <f t="shared" si="0"/>
        <v>1.396390649389561</v>
      </c>
      <c r="E7" s="6">
        <f t="shared" si="1"/>
        <v>0.39639064938956103</v>
      </c>
      <c r="F7" s="7">
        <f t="shared" si="2"/>
        <v>39.639064938956103</v>
      </c>
      <c r="H7" s="5"/>
      <c r="I7" s="7">
        <f t="shared" si="3"/>
        <v>1</v>
      </c>
    </row>
    <row r="8" spans="1:26" ht="15.75" customHeight="1" x14ac:dyDescent="0.25">
      <c r="B8" s="5" t="s">
        <v>12</v>
      </c>
      <c r="C8" s="6">
        <v>0.4024934</v>
      </c>
      <c r="D8" s="6">
        <f t="shared" si="0"/>
        <v>1.4955490545686099</v>
      </c>
      <c r="E8" s="6">
        <f t="shared" si="1"/>
        <v>0.49554905456860987</v>
      </c>
      <c r="F8" s="7">
        <f t="shared" si="2"/>
        <v>49.554905456860986</v>
      </c>
      <c r="H8" s="5"/>
      <c r="I8" s="7">
        <f t="shared" si="3"/>
        <v>1</v>
      </c>
    </row>
    <row r="9" spans="1:26" ht="15.75" customHeight="1" x14ac:dyDescent="0.25">
      <c r="B9" s="5" t="s">
        <v>13</v>
      </c>
      <c r="C9" s="6">
        <v>-0.192305</v>
      </c>
      <c r="D9" s="6">
        <f t="shared" si="0"/>
        <v>0.8250551882799757</v>
      </c>
      <c r="E9" s="6">
        <f t="shared" si="1"/>
        <v>-0.1749448117200243</v>
      </c>
      <c r="F9" s="7">
        <f t="shared" si="2"/>
        <v>-17.49448117200243</v>
      </c>
      <c r="H9" s="5"/>
      <c r="I9" s="7">
        <f t="shared" si="3"/>
        <v>1</v>
      </c>
    </row>
    <row r="10" spans="1:26" ht="15.75" customHeight="1" x14ac:dyDescent="0.25">
      <c r="B10" s="5" t="s">
        <v>14</v>
      </c>
      <c r="C10" s="6">
        <v>-0.52452299999999996</v>
      </c>
      <c r="D10" s="6">
        <f t="shared" si="0"/>
        <v>0.59183760358432003</v>
      </c>
      <c r="E10" s="6">
        <f t="shared" si="1"/>
        <v>-0.40816239641567997</v>
      </c>
      <c r="F10" s="7">
        <f t="shared" si="2"/>
        <v>-40.816239641567996</v>
      </c>
      <c r="H10" s="5"/>
      <c r="I10" s="7">
        <f t="shared" si="3"/>
        <v>1</v>
      </c>
    </row>
    <row r="11" spans="1:26" ht="15.75" customHeight="1" x14ac:dyDescent="0.25">
      <c r="B11" s="5" t="s">
        <v>15</v>
      </c>
      <c r="C11" s="6">
        <v>-1.0620149999999999</v>
      </c>
      <c r="D11" s="6">
        <f t="shared" si="0"/>
        <v>0.34575840474433861</v>
      </c>
      <c r="E11" s="6">
        <f t="shared" si="1"/>
        <v>-0.65424159525566139</v>
      </c>
      <c r="F11" s="7">
        <f t="shared" si="2"/>
        <v>-65.424159525566139</v>
      </c>
      <c r="H11" s="5"/>
      <c r="I11" s="7">
        <f t="shared" si="3"/>
        <v>1</v>
      </c>
    </row>
    <row r="12" spans="1:26" ht="15.75" customHeight="1" x14ac:dyDescent="0.25">
      <c r="B12" s="5" t="s">
        <v>16</v>
      </c>
      <c r="C12" s="6">
        <v>-8.8459999999999997E-3</v>
      </c>
      <c r="D12" s="6">
        <f t="shared" si="0"/>
        <v>0.9911930107435748</v>
      </c>
      <c r="E12" s="6">
        <f t="shared" si="1"/>
        <v>-8.8069892564252017E-3</v>
      </c>
      <c r="F12" s="7">
        <f t="shared" si="2"/>
        <v>-0.88069892564252017</v>
      </c>
      <c r="H12" s="5"/>
      <c r="I12" s="7">
        <f t="shared" si="3"/>
        <v>1</v>
      </c>
    </row>
    <row r="13" spans="1:26" ht="15.75" customHeight="1" x14ac:dyDescent="0.25">
      <c r="B13" s="5" t="s">
        <v>17</v>
      </c>
      <c r="C13" s="6">
        <v>0.75911680000000004</v>
      </c>
      <c r="D13" s="6">
        <f t="shared" si="0"/>
        <v>2.1363885286662949</v>
      </c>
      <c r="E13" s="6">
        <f t="shared" si="1"/>
        <v>1.1363885286662949</v>
      </c>
      <c r="F13" s="7">
        <f t="shared" si="2"/>
        <v>113.63885286662949</v>
      </c>
      <c r="H13" s="5"/>
      <c r="I13" s="7">
        <f t="shared" si="3"/>
        <v>1</v>
      </c>
    </row>
    <row r="14" spans="1:26" ht="15.75" customHeight="1" x14ac:dyDescent="0.25">
      <c r="B14" s="5" t="s">
        <v>18</v>
      </c>
      <c r="C14" s="6">
        <v>0.42208980000000001</v>
      </c>
      <c r="D14" s="6">
        <f t="shared" si="0"/>
        <v>1.5251454765978449</v>
      </c>
      <c r="E14" s="6">
        <f t="shared" si="1"/>
        <v>0.52514547659784494</v>
      </c>
      <c r="F14" s="7">
        <f t="shared" si="2"/>
        <v>52.514547659784498</v>
      </c>
      <c r="H14" s="5"/>
      <c r="I14" s="7">
        <f t="shared" si="3"/>
        <v>1</v>
      </c>
    </row>
    <row r="15" spans="1:26" ht="15.75" customHeight="1" x14ac:dyDescent="0.25">
      <c r="B15" s="5" t="s">
        <v>19</v>
      </c>
      <c r="C15" s="6">
        <v>0.42264780000000002</v>
      </c>
      <c r="D15" s="6">
        <f t="shared" si="0"/>
        <v>1.5259967452556542</v>
      </c>
      <c r="E15" s="6">
        <f t="shared" si="1"/>
        <v>0.52599674525565421</v>
      </c>
      <c r="F15" s="7">
        <f t="shared" si="2"/>
        <v>52.599674525565419</v>
      </c>
      <c r="H15" s="5"/>
      <c r="I15" s="7">
        <f t="shared" si="3"/>
        <v>1</v>
      </c>
    </row>
    <row r="16" spans="1:26" ht="15.75" customHeight="1" x14ac:dyDescent="0.25">
      <c r="B16" s="5" t="s">
        <v>20</v>
      </c>
      <c r="C16" s="6">
        <v>0.36401810000000001</v>
      </c>
      <c r="D16" s="6">
        <f t="shared" si="0"/>
        <v>1.4391002616370516</v>
      </c>
      <c r="E16" s="6">
        <f t="shared" si="1"/>
        <v>0.43910026163705163</v>
      </c>
      <c r="F16" s="7">
        <f t="shared" si="2"/>
        <v>43.910026163705162</v>
      </c>
      <c r="H16" s="5"/>
      <c r="I16" s="7">
        <f t="shared" si="3"/>
        <v>1</v>
      </c>
    </row>
    <row r="17" spans="2:9" ht="15.75" customHeight="1" x14ac:dyDescent="0.25">
      <c r="B17" s="8" t="s">
        <v>21</v>
      </c>
      <c r="C17" s="9">
        <v>0.21976029999999999</v>
      </c>
      <c r="D17" s="9">
        <f t="shared" si="0"/>
        <v>1.2457780817895474</v>
      </c>
      <c r="E17" s="9">
        <f t="shared" si="1"/>
        <v>0.24577808178954741</v>
      </c>
      <c r="F17" s="10">
        <f t="shared" si="2"/>
        <v>24.57780817895474</v>
      </c>
      <c r="H17" s="8"/>
      <c r="I17" s="10">
        <f t="shared" si="3"/>
        <v>1</v>
      </c>
    </row>
    <row r="18" spans="2:9" ht="15.75" customHeight="1" x14ac:dyDescent="0.25"/>
    <row r="19" spans="2:9" ht="15.75" customHeight="1" x14ac:dyDescent="0.25"/>
    <row r="20" spans="2:9" ht="15.75" customHeight="1" x14ac:dyDescent="0.25"/>
    <row r="21" spans="2:9" ht="15.75" customHeight="1" x14ac:dyDescent="0.25"/>
    <row r="22" spans="2:9" ht="15.75" customHeight="1" x14ac:dyDescent="0.25"/>
    <row r="23" spans="2:9" ht="15.75" customHeight="1" x14ac:dyDescent="0.25"/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6"/>
  <sheetViews>
    <sheetView workbookViewId="0"/>
  </sheetViews>
  <sheetFormatPr defaultColWidth="11.25" defaultRowHeight="15" customHeight="1" x14ac:dyDescent="0.25"/>
  <cols>
    <col min="1" max="1" width="20.5" customWidth="1"/>
    <col min="5" max="5" width="21.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7</v>
      </c>
      <c r="B2" s="6">
        <v>10.626469999999999</v>
      </c>
      <c r="C2" s="6">
        <f t="shared" ref="C2:C16" si="0">EXP(B2)</f>
        <v>41211.391918749054</v>
      </c>
      <c r="D2" s="6">
        <f t="shared" ref="D2:D16" si="1">C2-1</f>
        <v>41210.391918749054</v>
      </c>
      <c r="E2" s="7">
        <f t="shared" ref="E2:E16" si="2">D2*100</f>
        <v>4121039.1918749055</v>
      </c>
    </row>
    <row r="3" spans="1:5" x14ac:dyDescent="0.25">
      <c r="A3" s="5" t="s">
        <v>8</v>
      </c>
      <c r="B3" s="6">
        <v>1.7449099999999999E-2</v>
      </c>
      <c r="C3" s="6">
        <f t="shared" si="0"/>
        <v>1.0176022248792862</v>
      </c>
      <c r="D3" s="6">
        <f t="shared" si="1"/>
        <v>1.7602224879286199E-2</v>
      </c>
      <c r="E3" s="7">
        <f t="shared" si="2"/>
        <v>1.7602224879286199</v>
      </c>
    </row>
    <row r="4" spans="1:5" x14ac:dyDescent="0.25">
      <c r="A4" s="5" t="s">
        <v>9</v>
      </c>
      <c r="B4" s="6">
        <v>0.28891990000000001</v>
      </c>
      <c r="C4" s="6">
        <f t="shared" si="0"/>
        <v>1.3349847919639199</v>
      </c>
      <c r="D4" s="6">
        <f t="shared" si="1"/>
        <v>0.33498479196391995</v>
      </c>
      <c r="E4" s="7">
        <f t="shared" si="2"/>
        <v>33.498479196391997</v>
      </c>
    </row>
    <row r="5" spans="1:5" x14ac:dyDescent="0.25">
      <c r="A5" s="5" t="s">
        <v>10</v>
      </c>
      <c r="B5" s="6">
        <v>5.2687999999999997E-3</v>
      </c>
      <c r="C5" s="6">
        <f t="shared" si="0"/>
        <v>1.0052827045360675</v>
      </c>
      <c r="D5" s="6">
        <f t="shared" si="1"/>
        <v>5.2827045360674951E-3</v>
      </c>
      <c r="E5" s="7">
        <f t="shared" si="2"/>
        <v>0.52827045360674951</v>
      </c>
    </row>
    <row r="6" spans="1:5" x14ac:dyDescent="0.25">
      <c r="A6" s="5" t="s">
        <v>11</v>
      </c>
      <c r="B6" s="6">
        <v>0.10639129999999999</v>
      </c>
      <c r="C6" s="6">
        <f t="shared" si="0"/>
        <v>1.1122570175365982</v>
      </c>
      <c r="D6" s="6">
        <f t="shared" si="1"/>
        <v>0.11225701753659822</v>
      </c>
      <c r="E6" s="7">
        <f t="shared" si="2"/>
        <v>11.225701753659823</v>
      </c>
    </row>
    <row r="7" spans="1:5" x14ac:dyDescent="0.25">
      <c r="A7" s="5" t="s">
        <v>12</v>
      </c>
      <c r="B7" s="6">
        <v>7.9731499999999997E-2</v>
      </c>
      <c r="C7" s="6">
        <f t="shared" si="0"/>
        <v>1.0829962441420944</v>
      </c>
      <c r="D7" s="6">
        <f t="shared" si="1"/>
        <v>8.2996244142094389E-2</v>
      </c>
      <c r="E7" s="7">
        <f t="shared" si="2"/>
        <v>8.2996244142094397</v>
      </c>
    </row>
    <row r="8" spans="1:5" x14ac:dyDescent="0.25">
      <c r="A8" s="5" t="s">
        <v>13</v>
      </c>
      <c r="B8" s="6">
        <v>-0.15740999999999999</v>
      </c>
      <c r="C8" s="6">
        <f t="shared" si="0"/>
        <v>0.85435370198162919</v>
      </c>
      <c r="D8" s="6">
        <f t="shared" si="1"/>
        <v>-0.14564629801837081</v>
      </c>
      <c r="E8" s="7">
        <f t="shared" si="2"/>
        <v>-14.564629801837082</v>
      </c>
    </row>
    <row r="9" spans="1:5" x14ac:dyDescent="0.25">
      <c r="A9" s="5" t="s">
        <v>14</v>
      </c>
      <c r="B9" s="6">
        <v>-0.532578</v>
      </c>
      <c r="C9" s="6">
        <f t="shared" si="0"/>
        <v>0.58708950034582197</v>
      </c>
      <c r="D9" s="6">
        <f t="shared" si="1"/>
        <v>-0.41291049965417803</v>
      </c>
      <c r="E9" s="7">
        <f t="shared" si="2"/>
        <v>-41.291049965417805</v>
      </c>
    </row>
    <row r="10" spans="1:5" x14ac:dyDescent="0.25">
      <c r="A10" s="5" t="s">
        <v>15</v>
      </c>
      <c r="B10" s="6">
        <v>-1.1472260000000001</v>
      </c>
      <c r="C10" s="6">
        <f t="shared" si="0"/>
        <v>0.31751633917659022</v>
      </c>
      <c r="D10" s="6">
        <f t="shared" si="1"/>
        <v>-0.68248366082340972</v>
      </c>
      <c r="E10" s="7">
        <f t="shared" si="2"/>
        <v>-68.248366082340965</v>
      </c>
    </row>
    <row r="11" spans="1:5" x14ac:dyDescent="0.25">
      <c r="A11" s="5" t="s">
        <v>16</v>
      </c>
      <c r="B11" s="6">
        <v>0.1028922</v>
      </c>
      <c r="C11" s="6">
        <f t="shared" si="0"/>
        <v>1.108371920142678</v>
      </c>
      <c r="D11" s="6">
        <f t="shared" si="1"/>
        <v>0.10837192014267805</v>
      </c>
      <c r="E11" s="7">
        <f t="shared" si="2"/>
        <v>10.837192014267805</v>
      </c>
    </row>
    <row r="12" spans="1:5" x14ac:dyDescent="0.25">
      <c r="A12" s="5" t="s">
        <v>17</v>
      </c>
      <c r="B12" s="6">
        <v>0.81248350000000003</v>
      </c>
      <c r="C12" s="6">
        <f t="shared" si="0"/>
        <v>2.2534976041959802</v>
      </c>
      <c r="D12" s="6">
        <f t="shared" si="1"/>
        <v>1.2534976041959802</v>
      </c>
      <c r="E12" s="7">
        <f t="shared" si="2"/>
        <v>125.34976041959803</v>
      </c>
    </row>
    <row r="13" spans="1:5" x14ac:dyDescent="0.25">
      <c r="A13" s="5" t="s">
        <v>18</v>
      </c>
      <c r="B13" s="6">
        <v>0.45467289999999999</v>
      </c>
      <c r="C13" s="6">
        <f t="shared" si="0"/>
        <v>1.5756579010320784</v>
      </c>
      <c r="D13" s="6">
        <f t="shared" si="1"/>
        <v>0.57565790103207837</v>
      </c>
      <c r="E13" s="7">
        <f t="shared" si="2"/>
        <v>57.565790103207839</v>
      </c>
    </row>
    <row r="14" spans="1:5" x14ac:dyDescent="0.25">
      <c r="A14" s="5" t="s">
        <v>19</v>
      </c>
      <c r="B14" s="6">
        <v>0.4599184</v>
      </c>
      <c r="C14" s="6">
        <f t="shared" si="0"/>
        <v>1.5839447298309886</v>
      </c>
      <c r="D14" s="6">
        <f t="shared" si="1"/>
        <v>0.58394472983098855</v>
      </c>
      <c r="E14" s="7">
        <f t="shared" si="2"/>
        <v>58.394472983098858</v>
      </c>
    </row>
    <row r="15" spans="1:5" x14ac:dyDescent="0.25">
      <c r="A15" s="5" t="s">
        <v>20</v>
      </c>
      <c r="B15" s="6">
        <v>0.37589640000000002</v>
      </c>
      <c r="C15" s="6">
        <f t="shared" si="0"/>
        <v>1.4562962536637518</v>
      </c>
      <c r="D15" s="6">
        <f t="shared" si="1"/>
        <v>0.45629625366375182</v>
      </c>
      <c r="E15" s="7">
        <f t="shared" si="2"/>
        <v>45.62962536637518</v>
      </c>
    </row>
    <row r="16" spans="1:5" x14ac:dyDescent="0.25">
      <c r="A16" s="8" t="s">
        <v>21</v>
      </c>
      <c r="B16" s="9">
        <v>0.31591089999999999</v>
      </c>
      <c r="C16" s="9">
        <f t="shared" si="0"/>
        <v>1.3715080488146607</v>
      </c>
      <c r="D16" s="9">
        <f t="shared" si="1"/>
        <v>0.37150804881466071</v>
      </c>
      <c r="E16" s="10">
        <f t="shared" si="2"/>
        <v>37.150804881466073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workbookViewId="0"/>
  </sheetViews>
  <sheetFormatPr defaultColWidth="11.25" defaultRowHeight="15" customHeight="1" x14ac:dyDescent="0.25"/>
  <cols>
    <col min="1" max="1" width="23.875" customWidth="1"/>
    <col min="4" max="4" width="21.875" customWidth="1"/>
    <col min="5" max="5" width="28.375" hidden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22</v>
      </c>
      <c r="B2" s="6">
        <v>10</v>
      </c>
      <c r="C2" s="6">
        <f t="shared" ref="C2:C16" si="0">EXP(B2)</f>
        <v>22026.465794806718</v>
      </c>
      <c r="D2" s="6">
        <f t="shared" ref="D2:D16" si="1">C2-1</f>
        <v>22025.465794806718</v>
      </c>
      <c r="E2" s="7">
        <f t="shared" ref="E2:E16" si="2">D2*100</f>
        <v>2202546.5794806718</v>
      </c>
    </row>
    <row r="3" spans="1:5" x14ac:dyDescent="0.25">
      <c r="A3" s="5" t="s">
        <v>22</v>
      </c>
      <c r="B3" s="6">
        <v>14</v>
      </c>
      <c r="C3" s="6">
        <f t="shared" si="0"/>
        <v>1202604.2841647768</v>
      </c>
      <c r="D3" s="6">
        <f t="shared" si="1"/>
        <v>1202603.2841647768</v>
      </c>
      <c r="E3" s="7">
        <f t="shared" si="2"/>
        <v>120260328.41647768</v>
      </c>
    </row>
    <row r="4" spans="1:5" x14ac:dyDescent="0.25">
      <c r="A4" s="5" t="s">
        <v>23</v>
      </c>
      <c r="B4" s="6">
        <v>11.5</v>
      </c>
      <c r="C4" s="6">
        <f t="shared" si="0"/>
        <v>98715.771010760494</v>
      </c>
      <c r="D4" s="6">
        <f t="shared" si="1"/>
        <v>98714.771010760494</v>
      </c>
      <c r="E4" s="7">
        <f t="shared" si="2"/>
        <v>9871477.1010760497</v>
      </c>
    </row>
    <row r="5" spans="1:5" x14ac:dyDescent="0.25">
      <c r="A5" s="5" t="s">
        <v>24</v>
      </c>
      <c r="B5" s="6">
        <v>13.3</v>
      </c>
      <c r="C5" s="6">
        <f t="shared" si="0"/>
        <v>597195.61379281664</v>
      </c>
      <c r="D5" s="6">
        <f t="shared" si="1"/>
        <v>597194.61379281664</v>
      </c>
      <c r="E5" s="7">
        <f t="shared" si="2"/>
        <v>59719461.379281662</v>
      </c>
    </row>
    <row r="6" spans="1:5" x14ac:dyDescent="0.25">
      <c r="A6" s="5" t="s">
        <v>25</v>
      </c>
      <c r="B6" s="6">
        <v>7.8</v>
      </c>
      <c r="C6" s="6">
        <f t="shared" si="0"/>
        <v>2440.6019776244984</v>
      </c>
      <c r="D6" s="6">
        <f t="shared" si="1"/>
        <v>2439.6019776244984</v>
      </c>
      <c r="E6" s="7">
        <f t="shared" si="2"/>
        <v>243960.19776244985</v>
      </c>
    </row>
    <row r="7" spans="1:5" x14ac:dyDescent="0.25">
      <c r="A7" s="5" t="s">
        <v>26</v>
      </c>
      <c r="B7" s="6">
        <v>13.8</v>
      </c>
      <c r="C7" s="6">
        <f t="shared" si="0"/>
        <v>984609.11122903565</v>
      </c>
      <c r="D7" s="6">
        <f t="shared" si="1"/>
        <v>984608.11122903565</v>
      </c>
      <c r="E7" s="7">
        <f t="shared" si="2"/>
        <v>98460811.122903571</v>
      </c>
    </row>
    <row r="8" spans="1:5" x14ac:dyDescent="0.25">
      <c r="A8" s="5" t="s">
        <v>27</v>
      </c>
      <c r="B8" s="6">
        <v>12</v>
      </c>
      <c r="C8" s="6">
        <f t="shared" si="0"/>
        <v>162754.79141900392</v>
      </c>
      <c r="D8" s="6">
        <f t="shared" si="1"/>
        <v>162753.79141900392</v>
      </c>
      <c r="E8" s="7">
        <f t="shared" si="2"/>
        <v>16275379.141900392</v>
      </c>
    </row>
    <row r="9" spans="1:5" x14ac:dyDescent="0.25">
      <c r="A9" s="5" t="s">
        <v>28</v>
      </c>
      <c r="B9" s="6">
        <v>16</v>
      </c>
      <c r="C9" s="6">
        <f t="shared" si="0"/>
        <v>8886110.5205078721</v>
      </c>
      <c r="D9" s="6">
        <f t="shared" si="1"/>
        <v>8886109.5205078721</v>
      </c>
      <c r="E9" s="7">
        <f t="shared" si="2"/>
        <v>888610952.05078721</v>
      </c>
    </row>
    <row r="10" spans="1:5" x14ac:dyDescent="0.25">
      <c r="A10" s="5" t="s">
        <v>29</v>
      </c>
      <c r="B10" s="6">
        <v>11.083</v>
      </c>
      <c r="C10" s="6">
        <f t="shared" si="0"/>
        <v>65055.758224504556</v>
      </c>
      <c r="D10" s="6">
        <f t="shared" si="1"/>
        <v>65054.758224504556</v>
      </c>
      <c r="E10" s="7">
        <f t="shared" si="2"/>
        <v>6505475.8224504553</v>
      </c>
    </row>
    <row r="11" spans="1:5" x14ac:dyDescent="0.25">
      <c r="A11" s="5" t="s">
        <v>30</v>
      </c>
      <c r="B11" s="6">
        <v>13.74</v>
      </c>
      <c r="C11" s="6">
        <f t="shared" si="0"/>
        <v>927269.94039941404</v>
      </c>
      <c r="D11" s="6">
        <f t="shared" si="1"/>
        <v>927268.94039941404</v>
      </c>
      <c r="E11" s="7">
        <f t="shared" si="2"/>
        <v>92726894.0399414</v>
      </c>
    </row>
    <row r="12" spans="1:5" x14ac:dyDescent="0.25">
      <c r="A12" s="5"/>
      <c r="C12" s="6">
        <f t="shared" si="0"/>
        <v>1</v>
      </c>
      <c r="D12" s="6">
        <f t="shared" si="1"/>
        <v>0</v>
      </c>
      <c r="E12" s="7">
        <f t="shared" si="2"/>
        <v>0</v>
      </c>
    </row>
    <row r="13" spans="1:5" x14ac:dyDescent="0.25">
      <c r="A13" s="5"/>
      <c r="C13" s="6">
        <f t="shared" si="0"/>
        <v>1</v>
      </c>
      <c r="D13" s="6">
        <f t="shared" si="1"/>
        <v>0</v>
      </c>
      <c r="E13" s="7">
        <f t="shared" si="2"/>
        <v>0</v>
      </c>
    </row>
    <row r="14" spans="1:5" x14ac:dyDescent="0.25">
      <c r="A14" s="5"/>
      <c r="C14" s="6">
        <f t="shared" si="0"/>
        <v>1</v>
      </c>
      <c r="D14" s="6">
        <f t="shared" si="1"/>
        <v>0</v>
      </c>
      <c r="E14" s="7">
        <f t="shared" si="2"/>
        <v>0</v>
      </c>
    </row>
    <row r="15" spans="1:5" x14ac:dyDescent="0.25">
      <c r="A15" s="5"/>
      <c r="C15" s="6">
        <f t="shared" si="0"/>
        <v>1</v>
      </c>
      <c r="D15" s="6">
        <f t="shared" si="1"/>
        <v>0</v>
      </c>
      <c r="E15" s="7">
        <f t="shared" si="2"/>
        <v>0</v>
      </c>
    </row>
    <row r="16" spans="1:5" x14ac:dyDescent="0.25">
      <c r="A16" s="8"/>
      <c r="B16" s="9"/>
      <c r="C16" s="9">
        <f t="shared" si="0"/>
        <v>1</v>
      </c>
      <c r="D16" s="9">
        <f t="shared" si="1"/>
        <v>0</v>
      </c>
      <c r="E16" s="10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6"/>
  <sheetViews>
    <sheetView workbookViewId="0"/>
  </sheetViews>
  <sheetFormatPr defaultColWidth="11.25" defaultRowHeight="15" customHeight="1" x14ac:dyDescent="0.25"/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6" t="s">
        <v>31</v>
      </c>
      <c r="B2" s="6">
        <v>13.9267</v>
      </c>
      <c r="C2" s="6">
        <f t="shared" ref="C2:C16" si="0">EXP(B2)</f>
        <v>1117606.6084722825</v>
      </c>
      <c r="D2" s="6">
        <f t="shared" ref="D2:D16" si="1">C2-1</f>
        <v>1117605.6084722825</v>
      </c>
      <c r="E2" s="7">
        <f t="shared" ref="E2:E16" si="2">D2*100</f>
        <v>111760560.84722826</v>
      </c>
    </row>
    <row r="3" spans="1:5" x14ac:dyDescent="0.25">
      <c r="A3" s="5" t="s">
        <v>32</v>
      </c>
      <c r="B3" s="6">
        <v>14.0274</v>
      </c>
      <c r="C3" s="6">
        <f t="shared" si="0"/>
        <v>1236011.2266392661</v>
      </c>
      <c r="D3" s="6">
        <f t="shared" si="1"/>
        <v>1236010.2266392661</v>
      </c>
      <c r="E3" s="7">
        <f t="shared" si="2"/>
        <v>123601022.66392662</v>
      </c>
    </row>
    <row r="4" spans="1:5" x14ac:dyDescent="0.25">
      <c r="A4" s="5" t="s">
        <v>33</v>
      </c>
      <c r="B4" s="6">
        <v>13.194100000000001</v>
      </c>
      <c r="C4" s="6">
        <f t="shared" si="0"/>
        <v>537186.17069931817</v>
      </c>
      <c r="D4" s="6">
        <f t="shared" si="1"/>
        <v>537185.17069931817</v>
      </c>
      <c r="E4" s="7">
        <f t="shared" si="2"/>
        <v>53718517.06993182</v>
      </c>
    </row>
    <row r="5" spans="1:5" x14ac:dyDescent="0.25">
      <c r="A5" s="5" t="s">
        <v>34</v>
      </c>
      <c r="B5" s="6">
        <v>14.770099999999999</v>
      </c>
      <c r="C5" s="6">
        <f t="shared" si="0"/>
        <v>2597603.8969983608</v>
      </c>
      <c r="D5" s="6">
        <f t="shared" si="1"/>
        <v>2597602.8969983608</v>
      </c>
      <c r="E5" s="7">
        <f t="shared" si="2"/>
        <v>259760289.69983608</v>
      </c>
    </row>
    <row r="6" spans="1:5" x14ac:dyDescent="0.25">
      <c r="A6" s="5" t="s">
        <v>35</v>
      </c>
      <c r="B6" s="6">
        <v>9.7813999999999997</v>
      </c>
      <c r="C6" s="6">
        <f t="shared" si="0"/>
        <v>17701.417498210893</v>
      </c>
      <c r="D6" s="6">
        <f t="shared" si="1"/>
        <v>17700.417498210893</v>
      </c>
      <c r="E6" s="7">
        <f t="shared" si="2"/>
        <v>1770041.7498210892</v>
      </c>
    </row>
    <row r="7" spans="1:5" x14ac:dyDescent="0.25">
      <c r="A7" s="6" t="s">
        <v>36</v>
      </c>
      <c r="B7" s="6">
        <v>17.3675</v>
      </c>
      <c r="C7" s="6">
        <f t="shared" si="0"/>
        <v>34882645.503983945</v>
      </c>
      <c r="D7" s="6">
        <f t="shared" si="1"/>
        <v>34882644.503983945</v>
      </c>
      <c r="E7" s="7">
        <f t="shared" si="2"/>
        <v>3488264450.3983946</v>
      </c>
    </row>
    <row r="8" spans="1:5" x14ac:dyDescent="0.25">
      <c r="A8" s="5"/>
      <c r="C8" s="6">
        <f t="shared" si="0"/>
        <v>1</v>
      </c>
      <c r="D8" s="6">
        <f t="shared" si="1"/>
        <v>0</v>
      </c>
      <c r="E8" s="7">
        <f t="shared" si="2"/>
        <v>0</v>
      </c>
    </row>
    <row r="9" spans="1:5" x14ac:dyDescent="0.25">
      <c r="A9" s="5"/>
      <c r="C9" s="6">
        <f t="shared" si="0"/>
        <v>1</v>
      </c>
      <c r="D9" s="6">
        <f t="shared" si="1"/>
        <v>0</v>
      </c>
      <c r="E9" s="7">
        <f t="shared" si="2"/>
        <v>0</v>
      </c>
    </row>
    <row r="10" spans="1:5" x14ac:dyDescent="0.25">
      <c r="A10" s="5"/>
      <c r="C10" s="6">
        <f t="shared" si="0"/>
        <v>1</v>
      </c>
      <c r="D10" s="6">
        <f t="shared" si="1"/>
        <v>0</v>
      </c>
      <c r="E10" s="7">
        <f t="shared" si="2"/>
        <v>0</v>
      </c>
    </row>
    <row r="11" spans="1:5" x14ac:dyDescent="0.25">
      <c r="A11" s="5"/>
      <c r="C11" s="6">
        <f t="shared" si="0"/>
        <v>1</v>
      </c>
      <c r="D11" s="6">
        <f t="shared" si="1"/>
        <v>0</v>
      </c>
      <c r="E11" s="7">
        <f t="shared" si="2"/>
        <v>0</v>
      </c>
    </row>
    <row r="12" spans="1:5" x14ac:dyDescent="0.25">
      <c r="A12" s="5"/>
      <c r="C12" s="6">
        <f t="shared" si="0"/>
        <v>1</v>
      </c>
      <c r="D12" s="6">
        <f t="shared" si="1"/>
        <v>0</v>
      </c>
      <c r="E12" s="7">
        <f t="shared" si="2"/>
        <v>0</v>
      </c>
    </row>
    <row r="13" spans="1:5" x14ac:dyDescent="0.25">
      <c r="A13" s="5"/>
      <c r="C13" s="6">
        <f t="shared" si="0"/>
        <v>1</v>
      </c>
      <c r="D13" s="6">
        <f t="shared" si="1"/>
        <v>0</v>
      </c>
      <c r="E13" s="7">
        <f t="shared" si="2"/>
        <v>0</v>
      </c>
    </row>
    <row r="14" spans="1:5" x14ac:dyDescent="0.25">
      <c r="A14" s="5"/>
      <c r="C14" s="6">
        <f t="shared" si="0"/>
        <v>1</v>
      </c>
      <c r="D14" s="6">
        <f t="shared" si="1"/>
        <v>0</v>
      </c>
      <c r="E14" s="7">
        <f t="shared" si="2"/>
        <v>0</v>
      </c>
    </row>
    <row r="15" spans="1:5" x14ac:dyDescent="0.25">
      <c r="A15" s="5"/>
      <c r="C15" s="6">
        <f t="shared" si="0"/>
        <v>1</v>
      </c>
      <c r="D15" s="6">
        <f t="shared" si="1"/>
        <v>0</v>
      </c>
      <c r="E15" s="7">
        <f t="shared" si="2"/>
        <v>0</v>
      </c>
    </row>
    <row r="16" spans="1:5" x14ac:dyDescent="0.25">
      <c r="A16" s="8"/>
      <c r="B16" s="9"/>
      <c r="C16" s="9">
        <f t="shared" si="0"/>
        <v>1</v>
      </c>
      <c r="D16" s="9">
        <f t="shared" si="1"/>
        <v>0</v>
      </c>
      <c r="E16" s="10">
        <f t="shared" si="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7"/>
  <sheetViews>
    <sheetView workbookViewId="0"/>
  </sheetViews>
  <sheetFormatPr defaultColWidth="11.25" defaultRowHeight="15" customHeight="1" x14ac:dyDescent="0.25"/>
  <cols>
    <col min="4" max="4" width="20.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" t="s">
        <v>37</v>
      </c>
      <c r="B2" s="6">
        <v>18.600000000000001</v>
      </c>
      <c r="C2" s="6">
        <f t="shared" ref="C2:C7" si="0">EXP(B2)</f>
        <v>119640264.19819069</v>
      </c>
      <c r="D2" s="6">
        <f t="shared" ref="D2:D7" si="1">C2-1</f>
        <v>119640263.19819069</v>
      </c>
    </row>
    <row r="3" spans="1:4" x14ac:dyDescent="0.25">
      <c r="A3" s="5" t="s">
        <v>37</v>
      </c>
      <c r="B3" s="6">
        <v>3</v>
      </c>
      <c r="C3" s="6">
        <f t="shared" si="0"/>
        <v>20.085536923187668</v>
      </c>
      <c r="D3" s="6">
        <f t="shared" si="1"/>
        <v>19.085536923187668</v>
      </c>
    </row>
    <row r="4" spans="1:4" x14ac:dyDescent="0.25">
      <c r="A4" s="5" t="s">
        <v>23</v>
      </c>
      <c r="B4" s="6">
        <v>11.5</v>
      </c>
      <c r="C4" s="6">
        <f t="shared" si="0"/>
        <v>98715.771010760494</v>
      </c>
      <c r="D4" s="6">
        <f t="shared" si="1"/>
        <v>98714.771010760494</v>
      </c>
    </row>
    <row r="5" spans="1:4" x14ac:dyDescent="0.25">
      <c r="A5" s="5" t="s">
        <v>24</v>
      </c>
      <c r="B5" s="6">
        <v>13.3</v>
      </c>
      <c r="C5" s="6">
        <f t="shared" si="0"/>
        <v>597195.61379281664</v>
      </c>
      <c r="D5" s="6">
        <f t="shared" si="1"/>
        <v>597194.61379281664</v>
      </c>
    </row>
    <row r="6" spans="1:4" x14ac:dyDescent="0.25">
      <c r="A6" s="5" t="s">
        <v>25</v>
      </c>
      <c r="B6" s="6">
        <v>7.8</v>
      </c>
      <c r="C6" s="6">
        <f t="shared" si="0"/>
        <v>2440.6019776244984</v>
      </c>
      <c r="D6" s="6">
        <f t="shared" si="1"/>
        <v>2439.6019776244984</v>
      </c>
    </row>
    <row r="7" spans="1:4" x14ac:dyDescent="0.25">
      <c r="A7" s="5" t="s">
        <v>26</v>
      </c>
      <c r="B7" s="6">
        <v>13.8</v>
      </c>
      <c r="C7" s="6">
        <f t="shared" si="0"/>
        <v>984609.11122903565</v>
      </c>
      <c r="D7" s="6">
        <f t="shared" si="1"/>
        <v>984608.11122903565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 Conversion</vt:lpstr>
      <vt:lpstr>Semi-Log</vt:lpstr>
      <vt:lpstr>BiVarate-Continuous</vt:lpstr>
      <vt:lpstr>Univarate 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Jennifer</dc:creator>
  <cp:lastModifiedBy>devika desai</cp:lastModifiedBy>
  <dcterms:created xsi:type="dcterms:W3CDTF">2021-04-15T20:42:53Z</dcterms:created>
  <dcterms:modified xsi:type="dcterms:W3CDTF">2026-08-27T18:12:48Z</dcterms:modified>
</cp:coreProperties>
</file>